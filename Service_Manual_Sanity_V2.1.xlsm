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715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/OneDrive/Documents/CEN5035_Software_Eng/ScrumbagsProject/"/>
    </mc:Choice>
  </mc:AlternateContent>
  <bookViews>
    <workbookView xWindow="0" yWindow="460" windowWidth="25600" windowHeight="14520"/>
  </bookViews>
  <sheets>
    <sheet name="Sheet1" sheetId="1" r:id="rId1"/>
  </sheets>
  <definedNames>
    <definedName name="resultsRange">Sheet1!$E$8:$E$17</definedName>
    <definedName name="Test_results">Sheet1!$A$4:$A$6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B5" i="1"/>
  <c r="B4" i="1"/>
  <c r="C5" i="1"/>
  <c r="C6" i="1"/>
  <c r="C4" i="1"/>
</calcChain>
</file>

<file path=xl/sharedStrings.xml><?xml version="1.0" encoding="utf-8"?>
<sst xmlns="http://schemas.openxmlformats.org/spreadsheetml/2006/main" count="61" uniqueCount="49">
  <si>
    <t>Date</t>
  </si>
  <si>
    <t>Tester</t>
  </si>
  <si>
    <t>Not tested</t>
  </si>
  <si>
    <t>Passed</t>
  </si>
  <si>
    <t>Failed</t>
  </si>
  <si>
    <t>Feature</t>
  </si>
  <si>
    <t>Result</t>
  </si>
  <si>
    <t>Notes</t>
  </si>
  <si>
    <t>Test Number</t>
  </si>
  <si>
    <t>Steps</t>
  </si>
  <si>
    <t>Log in</t>
  </si>
  <si>
    <t>Log out</t>
  </si>
  <si>
    <t>Expected Behavior</t>
  </si>
  <si>
    <t>1.  The user is logged out of the system.
2.  The user is directed to the login page.</t>
  </si>
  <si>
    <t>1.  The user is logged into the system.
2.  The user is directed to the home page.</t>
  </si>
  <si>
    <t>Create account</t>
  </si>
  <si>
    <t>1.  The registration form is displayed.
2.  The account is created.
3.  A confirmation email is received.
4.  The new account can log in.</t>
  </si>
  <si>
    <t>1.  Click the "Login" button.
2.  Enter a valid user name and password.</t>
  </si>
  <si>
    <t>1.  After logging in, click the "Logout" button.</t>
  </si>
  <si>
    <t>1.  Click the "Register" button.
2.  Enter a user name, password, and email address.
3.  Check that the confirmation email has arrived.
4.  Log in with the new account.</t>
  </si>
  <si>
    <t>Nick Petty</t>
  </si>
  <si>
    <t>View Service Requests</t>
  </si>
  <si>
    <t>1.  Log in, click on the "Newsfeed" tab, or click on the "Service" logo.</t>
  </si>
  <si>
    <t>1.  The newsfeed is displayed.</t>
  </si>
  <si>
    <t>Create Service Request</t>
  </si>
  <si>
    <t>1.  Click on the "Create Service Request" tab.
2.  Enter a location, description, and a photo.
3.  Click the "Submit" button.</t>
  </si>
  <si>
    <t>1.  The creation form is shown.
2.  The new Service Request appears in the Newsfeed.</t>
  </si>
  <si>
    <t>Search</t>
  </si>
  <si>
    <t>1.  Click the "Search" tab.
2.  Enter a string to search for.</t>
  </si>
  <si>
    <t>1.  The search form is shown.
2.  The search string appears in the search results.</t>
  </si>
  <si>
    <t>About Us</t>
  </si>
  <si>
    <t>1.  Click the "About Us" tab.</t>
  </si>
  <si>
    <t>1.  The About Us page is displayed.</t>
  </si>
  <si>
    <t>Delete Service Request</t>
  </si>
  <si>
    <t>1.  From the administration page, click "Delete" on a Service Request.
2.  Click "OK" on the confirmation pop-up.</t>
  </si>
  <si>
    <t>1.  The confirmation pop-up is displayed.
2.  The Service Request is no longer in the Newsfeed.</t>
  </si>
  <si>
    <t>Edit Service Request</t>
  </si>
  <si>
    <t>1.  From the administration page, click "Edit" on a Service Request.
2.  Change some data in the "Update Service Request" form.
3.  Click the "Update" button.</t>
  </si>
  <si>
    <t>1.  The editing form is displayed.
2.  The Newsfeed is updated with the new data.</t>
  </si>
  <si>
    <t>Delete User</t>
  </si>
  <si>
    <t>1.  From the administration page, click the "Users" tab.
2.  Click on the "Delete" button next to a user's name.
3.  Click "OK" on the confirmation pop-up.</t>
  </si>
  <si>
    <t>1.  The user list is displayed.
2.  The confirmation pop-up is displayed.
3.  The deleted user is not able to log in.
4.  The deleted user receives an email notification about account deletion.</t>
  </si>
  <si>
    <t>Service Sanity Tests</t>
  </si>
  <si>
    <t>Log in window has "UserNam" instead of "User name."</t>
  </si>
  <si>
    <t>Create service request button is missing.</t>
  </si>
  <si>
    <t>Service requests not available.</t>
  </si>
  <si>
    <t>Create Group</t>
  </si>
  <si>
    <t>1.  From the administration page, click the "Groups" tab.
2.  Enter a group name and click "Save."</t>
  </si>
  <si>
    <t>1.  The group management form is displayed.
The new group appears in the list of groups.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</si>
</sst>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#,##0."/>
  </numFmts>
  <fonts count="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5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13" applyNumberFormat="0" applyFont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10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center" wrapText="1"/>
    </xf>
    <xf numFmtId="0" fontId="2" fillId="6" borderId="6" xfId="5" applyBorder="1" applyAlignment="1">
      <alignment horizontal="right" vertical="center" wrapText="1"/>
    </xf>
    <xf numFmtId="0" fontId="2" fillId="4" borderId="6" xfId="3" applyFont="1" applyBorder="1" applyAlignment="1">
      <alignment horizontal="right" vertical="center" wrapText="1"/>
    </xf>
    <xf numFmtId="0" fontId="2" fillId="4" borderId="8" xfId="3" applyFont="1" applyBorder="1" applyAlignment="1">
      <alignment vertical="center" wrapText="1"/>
    </xf>
    <xf numFmtId="10" fontId="2" fillId="4" borderId="9" xfId="3" applyNumberFormat="1" applyFont="1" applyBorder="1" applyAlignment="1">
      <alignment vertical="center" wrapText="1"/>
    </xf>
    <xf numFmtId="0" fontId="2" fillId="2" borderId="6" xfId="1" applyFont="1" applyBorder="1" applyAlignment="1">
      <alignment horizontal="right" vertical="center" wrapText="1"/>
    </xf>
    <xf numFmtId="0" fontId="2" fillId="2" borderId="2" xfId="1" applyFont="1" applyBorder="1" applyAlignment="1">
      <alignment vertical="center" wrapText="1"/>
    </xf>
    <xf numFmtId="10" fontId="2" fillId="2" borderId="3" xfId="1" applyNumberFormat="1" applyFont="1" applyBorder="1" applyAlignment="1">
      <alignment vertical="center" wrapText="1"/>
    </xf>
    <xf numFmtId="0" fontId="2" fillId="3" borderId="6" xfId="2" applyFont="1" applyBorder="1" applyAlignment="1">
      <alignment horizontal="right" vertical="center" wrapText="1"/>
    </xf>
    <xf numFmtId="0" fontId="6" fillId="8" borderId="2" xfId="7" applyFont="1" applyBorder="1" applyAlignment="1">
      <alignment horizontal="center" vertical="center" wrapText="1"/>
    </xf>
    <xf numFmtId="0" fontId="6" fillId="8" borderId="3" xfId="7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5" borderId="1" xfId="4" applyFont="1" applyBorder="1" applyAlignment="1">
      <alignment horizontal="left" vertical="center" wrapText="1"/>
    </xf>
    <xf numFmtId="0" fontId="6" fillId="8" borderId="12" xfId="7" applyFont="1" applyBorder="1" applyAlignment="1">
      <alignment horizontal="center" vertical="center" wrapText="1"/>
    </xf>
    <xf numFmtId="165" fontId="2" fillId="7" borderId="2" xfId="6" applyNumberFormat="1" applyBorder="1" applyAlignment="1">
      <alignment vertical="top" wrapText="1"/>
    </xf>
    <xf numFmtId="0" fontId="0" fillId="0" borderId="1" xfId="0" applyBorder="1" applyAlignment="1">
      <alignment horizontal="center" vertical="center" wrapText="1"/>
    </xf>
    <xf numFmtId="0" fontId="2" fillId="3" borderId="4" xfId="2" applyFont="1" applyBorder="1" applyAlignment="1">
      <alignment vertical="center" wrapText="1"/>
    </xf>
    <xf numFmtId="10" fontId="2" fillId="3" borderId="5" xfId="2" applyNumberFormat="1" applyFont="1" applyBorder="1" applyAlignment="1">
      <alignment vertical="center" wrapText="1"/>
    </xf>
    <xf numFmtId="0" fontId="0" fillId="7" borderId="12" xfId="6" applyFont="1" applyBorder="1" applyAlignment="1">
      <alignment vertical="top" wrapText="1"/>
    </xf>
    <xf numFmtId="0" fontId="0" fillId="10" borderId="2" xfId="8" applyFont="1" applyBorder="1" applyAlignment="1">
      <alignment vertical="top" wrapText="1"/>
    </xf>
    <xf numFmtId="0" fontId="0" fillId="10" borderId="3" xfId="8" applyFont="1" applyBorder="1" applyAlignment="1">
      <alignment vertical="top" wrapText="1"/>
    </xf>
    <xf numFmtId="0" fontId="0" fillId="9" borderId="4" xfId="0" applyFill="1" applyBorder="1" applyAlignment="1">
      <alignment horizontal="center" vertical="center" wrapText="1"/>
    </xf>
    <xf numFmtId="0" fontId="1" fillId="6" borderId="2" xfId="5" applyFont="1" applyBorder="1" applyAlignment="1">
      <alignment horizontal="center" vertical="center" wrapText="1"/>
    </xf>
    <xf numFmtId="0" fontId="1" fillId="6" borderId="10" xfId="5" applyFont="1" applyBorder="1" applyAlignment="1">
      <alignment horizontal="center" vertical="center" wrapText="1"/>
    </xf>
    <xf numFmtId="0" fontId="1" fillId="6" borderId="5" xfId="5" applyFont="1" applyBorder="1" applyAlignment="1">
      <alignment horizontal="center" vertical="center" wrapText="1"/>
    </xf>
    <xf numFmtId="164" fontId="0" fillId="0" borderId="4" xfId="0" applyNumberFormat="1" applyBorder="1" applyAlignment="1">
      <alignment horizontal="left" vertical="center" wrapText="1"/>
    </xf>
    <xf numFmtId="164" fontId="0" fillId="0" borderId="10" xfId="0" applyNumberFormat="1" applyBorder="1" applyAlignment="1">
      <alignment horizontal="left" vertical="center" wrapText="1"/>
    </xf>
    <xf numFmtId="164" fontId="0" fillId="0" borderId="5" xfId="0" applyNumberFormat="1" applyBorder="1" applyAlignment="1">
      <alignment horizontal="left" vertical="center" wrapText="1"/>
    </xf>
    <xf numFmtId="0" fontId="0" fillId="0" borderId="8" xfId="0" applyNumberFormat="1" applyBorder="1" applyAlignment="1">
      <alignment horizontal="left" vertical="center" wrapText="1"/>
    </xf>
    <xf numFmtId="0" fontId="0" fillId="0" borderId="11" xfId="0" applyNumberFormat="1" applyBorder="1" applyAlignment="1">
      <alignment horizontal="left" vertical="center" wrapText="1"/>
    </xf>
    <xf numFmtId="0" fontId="0" fillId="0" borderId="9" xfId="0" applyNumberFormat="1" applyBorder="1" applyAlignment="1">
      <alignment horizontal="left" vertical="center" wrapText="1"/>
    </xf>
    <xf numFmtId="0" fontId="0" fillId="9" borderId="10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9" borderId="7" xfId="0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</cellXfs>
  <cellStyles count="9">
    <cellStyle name="20% - Accent2" xfId="5" builtinId="34"/>
    <cellStyle name="20% - Accent4" xfId="6" builtinId="42"/>
    <cellStyle name="20% - Accent5" xfId="8" builtinId="46"/>
    <cellStyle name="20% - Accent6" xfId="7" builtinId="50"/>
    <cellStyle name="Bad" xfId="2" builtinId="27"/>
    <cellStyle name="Good" xfId="1" builtinId="26"/>
    <cellStyle name="Neutral" xfId="3" builtinId="28"/>
    <cellStyle name="Normal" xfId="0" builtinId="0"/>
    <cellStyle name="Note" xfId="4" builtinId="10"/>
  </cellStyles>
  <dxfs count="20">
    <dxf>
      <fill>
        <patternFill patternType="solid"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 patternType="solid"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 patternType="solid"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 patternType="solid"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 patternType="solid"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 patternType="solid"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9"/>
      <tableStyleElement type="headerRow" dxfId="18"/>
    </tableStyle>
  </tableStyles>
  <colors>
    <mruColors>
      <color rgb="FFC6EFCE"/>
      <color rgb="FFFFC7CE"/>
      <color rgb="FFFFC79C"/>
      <color rgb="FFFFEB9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1028700</xdr:colOff>
          <xdr:row>3</xdr:row>
          <xdr:rowOff>101600</xdr:rowOff>
        </xdr:from>
        <xdr:to>
          <xdr:col>5</xdr:col>
          <xdr:colOff>2628900</xdr:colOff>
          <xdr:row>5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3</xdr:row>
          <xdr:rowOff>101600</xdr:rowOff>
        </xdr:from>
        <xdr:to>
          <xdr:col>5</xdr:col>
          <xdr:colOff>927100</xdr:colOff>
          <xdr:row>5</xdr:row>
          <xdr:rowOff>139700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Pass all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37"/>
  <sheetViews>
    <sheetView tabSelected="1" topLeftCell="A11" zoomScale="110" zoomScaleNormal="110" zoomScalePageLayoutView="110" workbookViewId="0">
      <selection sqref="A1:F1"/>
    </sheetView>
  </sheetViews>
  <sheetFormatPr baseColWidth="10" defaultColWidth="8.83203125" defaultRowHeight="15" x14ac:dyDescent="0.2"/>
  <cols>
    <col min="1" max="2" width="16.1640625" style="1" bestFit="1" customWidth="1"/>
    <col min="3" max="3" width="25" style="1" bestFit="1" customWidth="1"/>
    <col min="4" max="4" width="30.6640625" style="1" customWidth="1"/>
    <col min="5" max="5" width="10.5" style="1" bestFit="1" customWidth="1"/>
    <col min="6" max="6" width="30.6640625" style="13" customWidth="1"/>
    <col min="7" max="16384" width="8.83203125" style="1"/>
  </cols>
  <sheetData>
    <row r="1" spans="1:6" ht="24" x14ac:dyDescent="0.2">
      <c r="A1" s="24" t="s">
        <v>42</v>
      </c>
      <c r="B1" s="25"/>
      <c r="C1" s="25"/>
      <c r="D1" s="25"/>
      <c r="E1" s="25"/>
      <c r="F1" s="26"/>
    </row>
    <row r="2" spans="1:6" x14ac:dyDescent="0.2">
      <c r="A2" s="2" t="s">
        <v>0</v>
      </c>
      <c r="B2" s="27">
        <v>42710</v>
      </c>
      <c r="C2" s="28"/>
      <c r="D2" s="28"/>
      <c r="E2" s="28"/>
      <c r="F2" s="29"/>
    </row>
    <row r="3" spans="1:6" x14ac:dyDescent="0.2">
      <c r="A3" s="2" t="s">
        <v>1</v>
      </c>
      <c r="B3" s="30" t="s">
        <v>20</v>
      </c>
      <c r="C3" s="31"/>
      <c r="D3" s="31"/>
      <c r="E3" s="31"/>
      <c r="F3" s="32"/>
    </row>
    <row r="4" spans="1:6" x14ac:dyDescent="0.2">
      <c r="A4" s="3" t="s">
        <v>2</v>
      </c>
      <c r="B4" s="4">
        <f>COUNTIF(resultsRange,"Not tested")</f>
        <v>2</v>
      </c>
      <c r="C4" s="5">
        <f>B4/SUM(B4:B6)</f>
        <v>0.2</v>
      </c>
      <c r="D4" s="23"/>
      <c r="E4" s="33"/>
      <c r="F4" s="34"/>
    </row>
    <row r="5" spans="1:6" x14ac:dyDescent="0.2">
      <c r="A5" s="6" t="s">
        <v>3</v>
      </c>
      <c r="B5" s="7">
        <f>COUNTIF(resultsRange,"Passed")</f>
        <v>7</v>
      </c>
      <c r="C5" s="8">
        <f>B5/SUM(B4:B6)</f>
        <v>0.7</v>
      </c>
      <c r="D5" s="35"/>
      <c r="E5" s="36"/>
      <c r="F5" s="37"/>
    </row>
    <row r="6" spans="1:6" x14ac:dyDescent="0.2">
      <c r="A6" s="9" t="s">
        <v>4</v>
      </c>
      <c r="B6" s="18">
        <f>COUNTIF(resultsRange,"Failed")</f>
        <v>1</v>
      </c>
      <c r="C6" s="19">
        <f>B6/SUM(B4:B6)</f>
        <v>0.1</v>
      </c>
      <c r="D6" s="35"/>
      <c r="E6" s="38"/>
      <c r="F6" s="37"/>
    </row>
    <row r="7" spans="1:6" s="12" customFormat="1" ht="19" x14ac:dyDescent="0.2">
      <c r="A7" s="10" t="s">
        <v>8</v>
      </c>
      <c r="B7" s="15" t="s">
        <v>5</v>
      </c>
      <c r="C7" s="15" t="s">
        <v>9</v>
      </c>
      <c r="D7" s="15" t="s">
        <v>12</v>
      </c>
      <c r="E7" s="15" t="s">
        <v>6</v>
      </c>
      <c r="F7" s="11" t="s">
        <v>7</v>
      </c>
    </row>
    <row r="8" spans="1:6" ht="45" x14ac:dyDescent="0.2">
      <c r="A8" s="16">
        <v>1</v>
      </c>
      <c r="B8" s="20" t="s">
        <v>10</v>
      </c>
      <c r="C8" s="21" t="s">
        <v>17</v>
      </c>
      <c r="D8" s="22" t="s">
        <v>14</v>
      </c>
      <c r="E8" s="17" t="s">
        <v>3</v>
      </c>
      <c r="F8" s="14" t="s">
        <v>43</v>
      </c>
    </row>
    <row r="9" spans="1:6" ht="45" x14ac:dyDescent="0.2">
      <c r="A9" s="16">
        <v>2</v>
      </c>
      <c r="B9" s="20" t="s">
        <v>11</v>
      </c>
      <c r="C9" s="21" t="s">
        <v>18</v>
      </c>
      <c r="D9" s="22" t="s">
        <v>13</v>
      </c>
      <c r="E9" s="17" t="s">
        <v>3</v>
      </c>
      <c r="F9" s="14"/>
    </row>
    <row r="10" spans="1:6" ht="95" customHeight="1" x14ac:dyDescent="0.2">
      <c r="A10" s="16">
        <v>3</v>
      </c>
      <c r="B10" s="20" t="s">
        <v>15</v>
      </c>
      <c r="C10" s="21" t="s">
        <v>19</v>
      </c>
      <c r="D10" s="22" t="s">
        <v>16</v>
      </c>
      <c r="E10" s="17" t="s">
        <v>3</v>
      </c>
      <c r="F10" s="14"/>
    </row>
    <row r="11" spans="1:6" ht="45" customHeight="1" x14ac:dyDescent="0.2">
      <c r="A11" s="16">
        <v>4</v>
      </c>
      <c r="B11" s="20" t="s">
        <v>21</v>
      </c>
      <c r="C11" s="21" t="s">
        <v>22</v>
      </c>
      <c r="D11" s="22" t="s">
        <v>23</v>
      </c>
      <c r="E11" s="17" t="s">
        <v>3</v>
      </c>
      <c r="F11" s="14"/>
    </row>
    <row r="12" spans="1:6" ht="76" customHeight="1" x14ac:dyDescent="0.2">
      <c r="A12" s="16">
        <v>5</v>
      </c>
      <c r="B12" s="20" t="s">
        <v>24</v>
      </c>
      <c r="C12" s="21" t="s">
        <v>25</v>
      </c>
      <c r="D12" s="22" t="s">
        <v>26</v>
      </c>
      <c r="E12" s="17" t="s">
        <v>4</v>
      </c>
      <c r="F12" s="14" t="s">
        <v>44</v>
      </c>
    </row>
    <row r="13" spans="1:6" ht="45" x14ac:dyDescent="0.2">
      <c r="A13" s="16">
        <v>6</v>
      </c>
      <c r="B13" s="20" t="s">
        <v>27</v>
      </c>
      <c r="C13" s="21" t="s">
        <v>28</v>
      </c>
      <c r="D13" s="22" t="s">
        <v>29</v>
      </c>
      <c r="E13" s="17" t="s">
        <v>3</v>
      </c>
      <c r="F13" s="14"/>
    </row>
    <row r="14" spans="1:6" ht="19" customHeight="1" x14ac:dyDescent="0.2">
      <c r="A14" s="16">
        <v>7</v>
      </c>
      <c r="B14" s="20" t="s">
        <v>30</v>
      </c>
      <c r="C14" s="21" t="s">
        <v>31</v>
      </c>
      <c r="D14" s="22" t="s">
        <v>32</v>
      </c>
      <c r="E14" s="17" t="s">
        <v>3</v>
      </c>
      <c r="F14" s="14"/>
    </row>
    <row r="15" spans="1:6" ht="80" customHeight="1" x14ac:dyDescent="0.2">
      <c r="A15" s="16">
        <v>8</v>
      </c>
      <c r="B15" s="20" t="s">
        <v>33</v>
      </c>
      <c r="C15" s="21" t="s">
        <v>34</v>
      </c>
      <c r="D15" s="22" t="s">
        <v>35</v>
      </c>
      <c r="E15" s="17" t="s">
        <v>2</v>
      </c>
      <c r="F15" s="14" t="s">
        <v>45</v>
      </c>
    </row>
    <row r="16" spans="1:6" ht="97" customHeight="1" x14ac:dyDescent="0.2">
      <c r="A16" s="16">
        <v>9</v>
      </c>
      <c r="B16" s="20" t="s">
        <v>36</v>
      </c>
      <c r="C16" s="21" t="s">
        <v>37</v>
      </c>
      <c r="D16" s="22" t="s">
        <v>38</v>
      </c>
      <c r="E16" s="17" t="s">
        <v>2</v>
      </c>
      <c r="F16" s="14" t="s">
        <v>45</v>
      </c>
    </row>
    <row r="17" spans="1:6" ht="95" customHeight="1" x14ac:dyDescent="0.2">
      <c r="A17" s="16">
        <v>10</v>
      </c>
      <c r="B17" s="20" t="s">
        <v>39</v>
      </c>
      <c r="C17" s="21" t="s">
        <v>40</v>
      </c>
      <c r="D17" s="22" t="s">
        <v>41</v>
      </c>
      <c r="E17" s="17" t="s">
        <v>3</v>
      </c>
      <c r="F17" s="14"/>
    </row>
    <row r="18" spans="1:6" ht="71" customHeight="1" x14ac:dyDescent="0.2">
      <c r="A18" s="16">
        <v>11</v>
      </c>
      <c r="B18" s="20" t="s">
        <v>46</v>
      </c>
      <c r="C18" s="21" t="s">
        <v>47</v>
      </c>
      <c r="D18" s="22" t="s">
        <v>48</v>
      </c>
      <c r="E18" s="17" t="s">
        <v>3</v>
      </c>
      <c r="F18" s="14"/>
    </row>
    <row r="19" spans="1:6" ht="30" customHeight="1" x14ac:dyDescent="0.2">
      <c r="F19" s="1"/>
    </row>
    <row r="20" spans="1:6" ht="30" customHeight="1" x14ac:dyDescent="0.2">
      <c r="F20" s="1"/>
    </row>
    <row r="21" spans="1:6" ht="30" customHeight="1" x14ac:dyDescent="0.2">
      <c r="F21" s="1"/>
    </row>
    <row r="22" spans="1:6" ht="30" customHeight="1" x14ac:dyDescent="0.2">
      <c r="F22" s="1"/>
    </row>
    <row r="23" spans="1:6" ht="30" customHeight="1" x14ac:dyDescent="0.2">
      <c r="F23" s="1"/>
    </row>
    <row r="24" spans="1:6" ht="30" customHeight="1" x14ac:dyDescent="0.2">
      <c r="F24" s="1"/>
    </row>
    <row r="25" spans="1:6" ht="30" customHeight="1" x14ac:dyDescent="0.2">
      <c r="F25" s="1"/>
    </row>
    <row r="26" spans="1:6" ht="30" customHeight="1" x14ac:dyDescent="0.2">
      <c r="F26" s="1"/>
    </row>
    <row r="27" spans="1:6" ht="30" customHeight="1" x14ac:dyDescent="0.2">
      <c r="F27" s="1"/>
    </row>
    <row r="28" spans="1:6" ht="30" customHeight="1" x14ac:dyDescent="0.2">
      <c r="F28" s="1"/>
    </row>
    <row r="29" spans="1:6" ht="30" customHeight="1" x14ac:dyDescent="0.2">
      <c r="F29" s="1"/>
    </row>
    <row r="30" spans="1:6" ht="30" customHeight="1" x14ac:dyDescent="0.2">
      <c r="F30" s="1"/>
    </row>
    <row r="31" spans="1:6" ht="30" customHeight="1" x14ac:dyDescent="0.2">
      <c r="F31" s="1"/>
    </row>
    <row r="32" spans="1:6" ht="30" customHeight="1" x14ac:dyDescent="0.2">
      <c r="F32" s="1"/>
    </row>
    <row r="33" spans="6:6" ht="30" customHeight="1" x14ac:dyDescent="0.2">
      <c r="F33" s="1"/>
    </row>
    <row r="34" spans="6:6" ht="30" customHeight="1" x14ac:dyDescent="0.2">
      <c r="F34" s="1"/>
    </row>
    <row r="35" spans="6:6" ht="30" customHeight="1" x14ac:dyDescent="0.2">
      <c r="F35" s="1"/>
    </row>
    <row r="36" spans="6:6" ht="30" customHeight="1" x14ac:dyDescent="0.2">
      <c r="F36" s="1"/>
    </row>
    <row r="37" spans="6:6" ht="30" customHeight="1" x14ac:dyDescent="0.2">
      <c r="F37" s="1"/>
    </row>
  </sheetData>
  <mergeCells count="4">
    <mergeCell ref="D4:F6"/>
    <mergeCell ref="A1:F1"/>
    <mergeCell ref="B2:F2"/>
    <mergeCell ref="B3:F3"/>
  </mergeCells>
  <conditionalFormatting sqref="E8:E18">
    <cfRule type="containsText" dxfId="17" priority="214" operator="containsText" text="Passed">
      <formula>NOT(ISERROR(SEARCH("Passed",E8)))</formula>
    </cfRule>
    <cfRule type="containsText" dxfId="16" priority="215" operator="containsText" text="Failed">
      <formula>NOT(ISERROR(SEARCH("Failed",E8)))</formula>
    </cfRule>
    <cfRule type="containsText" dxfId="15" priority="216" operator="containsText" text="Not tested">
      <formula>NOT(ISERROR(SEARCH("Not tested",E8)))</formula>
    </cfRule>
  </conditionalFormatting>
  <dataValidations count="1">
    <dataValidation type="list" allowBlank="1" showInputMessage="1" showErrorMessage="1" sqref="E8:E18">
      <formula1>Test_results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Sheet">
                <anchor moveWithCells="1" sizeWithCells="1">
                  <from>
                    <xdr:col>5</xdr:col>
                    <xdr:colOff>1028700</xdr:colOff>
                    <xdr:row>3</xdr:row>
                    <xdr:rowOff>101600</xdr:rowOff>
                  </from>
                  <to>
                    <xdr:col>5</xdr:col>
                    <xdr:colOff>2628900</xdr:colOff>
                    <xdr:row>5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PassAll">
                <anchor moveWithCells="1" sizeWithCells="1">
                  <from>
                    <xdr:col>4</xdr:col>
                    <xdr:colOff>254000</xdr:colOff>
                    <xdr:row>3</xdr:row>
                    <xdr:rowOff>101600</xdr:rowOff>
                  </from>
                  <to>
                    <xdr:col>5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Unify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Petty, Nick</dc:creator>
  <cp:lastModifiedBy>Microsoft Office User</cp:lastModifiedBy>
  <dcterms:created xsi:type="dcterms:W3CDTF">2015-12-10T16:40:11Z</dcterms:created>
  <dcterms:modified xsi:type="dcterms:W3CDTF">2016-12-07T03:05:18Z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fdda2278-dd49-41fe-90c2-70af47dc924f</vt:lpwstr>
  </property>
</Properties>
</file>